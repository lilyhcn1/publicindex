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15" windowHeight="10365"/>
  </bookViews>
  <sheets>
    <sheet name="多脚本" sheetId="1" r:id="rId1"/>
    <sheet name="密码区" sheetId="2" r:id="rId2"/>
    <sheet name="常用代码" sheetId="3" r:id="rId3"/>
  </sheets>
  <calcPr calcId="144525"/>
</workbook>
</file>

<file path=xl/sharedStrings.xml><?xml version="1.0" encoding="utf-8"?>
<sst xmlns="http://schemas.openxmlformats.org/spreadsheetml/2006/main" count="174" uniqueCount="146">
  <si>
    <t>网页后部(不能删)</t>
  </si>
  <si>
    <t>生成文件</t>
  </si>
  <si>
    <t>index.html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</si>
  <si>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</si>
  <si>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</si>
  <si>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</si>
  <si>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</si>
  <si>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</si>
  <si>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</si>
  <si>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</si>
  <si>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</si>
  <si>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</si>
  <si>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</si>
  <si>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</si>
  <si>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</si>
  <si>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</si>
  <si>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</si>
  <si>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</si>
  <si>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</si>
  <si>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</si>
  <si>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</si>
  <si>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</si>
  <si>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</si>
  <si>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</si>
  <si>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参数21</t>
  </si>
  <si>
    <t>参数22</t>
  </si>
  <si>
    <t>参数23</t>
  </si>
  <si>
    <t>参数24</t>
  </si>
  <si>
    <t>参数25</t>
  </si>
  <si>
    <t>参数26</t>
  </si>
  <si>
    <t>参数27</t>
  </si>
  <si>
    <t>参数28</t>
  </si>
  <si>
    <t>参数29</t>
  </si>
  <si>
    <t>参数30</t>
  </si>
  <si>
    <t>参数31</t>
  </si>
  <si>
    <t>参数32</t>
  </si>
  <si>
    <t>参数33</t>
  </si>
  <si>
    <t>参数34</t>
  </si>
  <si>
    <t>参数35</t>
  </si>
  <si>
    <t>参数36</t>
  </si>
  <si>
    <t>参数37</t>
  </si>
  <si>
    <t>参数38</t>
  </si>
  <si>
    <t>参数39</t>
  </si>
  <si>
    <t>参数40</t>
  </si>
  <si>
    <t>参数41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</si>
  <si>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</si>
  <si>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</si>
  <si>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</si>
  <si>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</si>
  <si>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</si>
  <si>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</si>
  <si>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</si>
  <si>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</si>
  <si>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标题</t>
  </si>
  <si>
    <t>输入信息</t>
  </si>
  <si>
    <t>头部(不能删)</t>
  </si>
  <si>
    <t>上下分隔</t>
  </si>
  <si>
    <t>本地文件框9</t>
  </si>
  <si>
    <t>行政事物</t>
  </si>
  <si>
    <t>记事本</t>
  </si>
  <si>
    <t>notepad.exe</t>
  </si>
  <si>
    <t>计算器</t>
  </si>
  <si>
    <t>word</t>
  </si>
  <si>
    <t>发文、表格</t>
  </si>
  <si>
    <t>学院经费管理</t>
  </si>
  <si>
    <t>科研事物</t>
  </si>
  <si>
    <t>其它杂事</t>
  </si>
  <si>
    <t>黄牛私人工具</t>
  </si>
  <si>
    <t>链接框9</t>
  </si>
  <si>
    <t>台院常用网站</t>
  </si>
  <si>
    <t>数据网页</t>
  </si>
  <si>
    <t>小工具</t>
  </si>
  <si>
    <t>临海天气</t>
  </si>
  <si>
    <t>ajax抓取</t>
  </si>
  <si>
    <t>人文教师状态数据1</t>
  </si>
  <si>
    <t>面板iframe</t>
  </si>
  <si>
    <t>人文教师状态数据2</t>
  </si>
  <si>
    <t>人文纵向数据1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</si>
  <si>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</si>
  <si>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</si>
  <si>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</si>
  <si>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</si>
  <si>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</si>
  <si>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</si>
  <si>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</si>
  <si>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</si>
  <si>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</si>
  <si>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</si>
  <si>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</si>
  <si>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</si>
  <si>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</si>
  <si>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</si>
  <si>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</si>
  <si>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</si>
  <si>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</si>
  <si>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</si>
  <si>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</si>
  <si>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</si>
  <si>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</si>
  <si>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</si>
  <si>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</si>
  <si>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</si>
  <si>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</si>
  <si>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</si>
  <si>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</si>
  <si>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</si>
  <si>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</si>
  <si>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</si>
  <si>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</si>
  <si>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</si>
  <si>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</si>
  <si>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</si>
  <si>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</si>
  <si>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</si>
  <si>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>标题行（空代码区）</t>
  </si>
  <si>
    <t xml:space="preserve"> </t>
  </si>
  <si>
    <r>
      <rPr>
        <sz val="11"/>
        <color theme="1"/>
        <rFont val="宋体"/>
        <charset val="134"/>
        <scheme val="minor"/>
      </rPr>
      <t>头部(不能删</t>
    </r>
    <r>
      <rPr>
        <sz val="11"/>
        <color theme="1"/>
        <rFont val="宋体"/>
        <charset val="134"/>
        <scheme val="minor"/>
      </rPr>
      <t>)</t>
    </r>
  </si>
  <si>
    <t xml:space="preserve">&lt;!DOCTYPE html&gt;
&lt;html&gt;
 &lt;head&gt;
  &lt;meta charset="utf-8"&gt;
  &lt;meta content="no" name="apple-mobile-web-app-capable"&gt;
  &lt;meta name="viewport" content="width=device-width, initial-scale=1.0, maximum-scale=1.0, user-scalable=no"&gt;
  &lt;meta http-equiv="X-UA-Compatible" content="IE=edge,chrome=1" /&gt;
  &lt;title&gt;老黄牛自助导航站&lt;/title&gt;
  &lt;meta name="msapplication-TileColor" content="#1cb32e" /&gt;
  &lt;link rel="shortcut icon" href="static/favicon.ico" type=image/x-icon/&gt;
  &lt;meta name="keywords" content="老黄牛自助导航"&gt;
  &lt;meta name="Description" content="一个简洁实用导航网站"&gt;
  &lt;meta itemprop="name" content="" /&gt;
  &lt;meta name="description" itemprop="description" content="一个简洁实用导航网站" /&gt;
  &lt;link rel="stylesheet" href="static/css/bootstrap.min.css"&gt;
  &lt;link rel="stylesheet" href="static/css/bootstrap-theme.min.css"&gt;
  &lt;link href="static/css/master.css" type="text/css" rel="stylesheet" /&gt;
  &lt;script src="static/js/jquery.min.js"&gt;&lt;/script&gt;
  &lt;script src="static/js/bootstrap.min.js"&gt;&lt;/script&gt;
  &lt;!--[if lt IE 9]&gt;
    　    &lt;script src="static/js/html5.min.js"&gt;&lt;/script&gt;
     &lt;![endif]--&gt;
&lt;style type="text/css"&gt;
a:link,a:visited{
 text-decoration:none;  /*超链接无下划线*/
}
a:hover{
 text-decoration:none;  /*鼠标放上去有下划线*/
}
&lt;/style&gt;
 &lt;/head&gt;
 &lt;body&gt;
  &lt;div class="container"&gt;
   &lt;div class="ht10"&gt;&lt;/div&gt;
   &lt;div class="row tools"&gt;
    &lt;div class="col-md-10 col-md-offset-1 col-sm-12 col-xs-12"&gt;
  &lt;div style="text-align:center;"&gt;
    &lt;img src="static/picture/banner.jpg"&gt;&lt;/img&gt;
    &lt;/div&gt;
 &lt;/div&gt;
   &lt;/div&gt;
</t>
  </si>
  <si>
    <t>搜索框下导航_前</t>
  </si>
  <si>
    <t xml:space="preserve">   &lt;div class="ht10"&gt;&lt;/div&gt;
   &lt;div class="row tools"&gt;
    &lt;div class="col-md-10 col-md-offset-1 col-sm-12 col-xs-12"&gt;
     &lt;ul class="list"&gt;</t>
  </si>
  <si>
    <t>搜索框下导航_后</t>
  </si>
  <si>
    <t xml:space="preserve">     &lt;/ul&gt;
    &lt;/div&gt;
   &lt;/div&gt;
</t>
  </si>
  <si>
    <t>搜索框下导航</t>
  </si>
  <si>
    <t xml:space="preserve">   &lt;div class="ht10"&gt;&lt;/div&gt;
   &lt;div class="row tools"&gt;
    &lt;div class="col-md-10 col-md-offset-1 col-sm-12 col-xs-12"&gt;
     &lt;ul class="list"&gt;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
     &lt;/ul&gt;
    &lt;/div&gt;
   &lt;/div&gt;
</t>
  </si>
  <si>
    <t>本地文件框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</si>
  <si>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                 
       &lt;/ul&gt;
      &lt;/div&gt;
     &lt;/div&gt;
    &lt;/div&gt; 
</t>
  </si>
  <si>
    <t>链接框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</si>
  <si>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&lt;/ul&gt;
      &lt;/div&gt;
     &lt;/div&gt;
    &lt;/div&gt; 
</t>
  </si>
  <si>
    <t xml:space="preserve">   &lt;div class="ht10"&gt;&lt;/div&gt;
   &lt;div class="row nav_box"&gt;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</si>
  <si>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
           &lt;li&gt;&lt;a href="cmd://参数25" target="_blank" rel="nofollow"&gt;参数24&lt;/a&gt;&lt;/li&gt;           
           &lt;li&gt;&lt;a href="cmd://参数27" target="_blank" rel="nofollow"&gt;参数26&lt;/a&gt;&lt;/li&gt;           
           &lt;li&gt;&lt;a href="cmd://参数29" target="_blank" rel="nofollow"&gt;参数28&lt;/a&gt;&lt;/li&gt;                    
       &lt;/ul&gt;
      &lt;/div&gt;
     &lt;/div&gt;
    &lt;/div&gt; 
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</si>
  <si>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    &lt;li&gt;&lt;a href="参数25" target="_blank" rel="nofollow"&gt;参数24&lt;/a&gt;&lt;/li&gt;                    
           &lt;li&gt;&lt;a href="参数27" target="_blank" rel="nofollow"&gt;参数26&lt;/a&gt;&lt;/li&gt;                    
           &lt;li&gt;&lt;a href="参数29" target="_blank" rel="nofollow"&gt;参数28&lt;/a&gt;&lt;/li&gt;                    
       &lt;/ul&gt;
      &lt;/div&gt;
     &lt;/div&gt;
    &lt;/div&gt; 
</t>
  </si>
  <si>
    <t>数据展示区</t>
  </si>
  <si>
    <t xml:space="preserve">&lt;!--------------分隔线---------------------&gt;
 &lt;div class="col-md-4 col-sm-6 t"&gt;
  &lt;div class="panel panel-default"&gt;
   &lt;div class="panel-heading"&gt;
    &lt;b&gt;参数11&lt;/b&gt;
   &lt;/div&gt;
   &lt;div class="panel-body" style="height: 120px;"&gt;
  &lt;div class="col-md-6 " &gt;
   &lt;div class="table-responsive"  &gt;
    &lt;table class="table"&gt;
     &lt;tbody&gt;
       &lt;tr&gt;
      &lt;td&gt;参数12&lt;/td&gt;
      &lt;td&gt;参数13&lt;/td&gt;&lt;/tr&gt;
       &lt;tr&gt;
      &lt;td&gt;参数14&lt;/td&gt;
      &lt;td&gt;参数15&lt;/td&gt;&lt;/tr&gt;
       &lt;tr&gt;
      &lt;td&gt;参数16&lt;/td&gt;
      &lt;td&gt;参数17&lt;/td&gt;&lt;/tr&gt;
     &lt;/tbody&gt;
    &lt;/table&gt;
   &lt;/div&gt;
  &lt;/div&gt;
  &lt;div class="col-md-6 " &gt;
   &lt;div class="table-responsive"  &gt;
    &lt;table class="table"&gt;
     &lt;tbody&gt;
       &lt;tr&gt;
      &lt;td&gt;参数13&lt;/td&gt;
      &lt;td&gt;参数14&lt;/td&gt;&lt;/tr&gt;
       &lt;tr&gt;
      &lt;td&gt;参数17&lt;/td&gt;
      &lt;td&gt;参数18&lt;/td&gt;&lt;/tr&gt;
       &lt;tr&gt;
      &lt;td&gt;参数21&lt;/td&gt;
      &lt;td&gt;参数22&lt;/td&gt;&lt;/tr&gt;
     &lt;/tbody&gt;
    &lt;/table&gt;
   &lt;/div&gt;
  &lt;/div&gt;
   &lt;/div&gt;
  &lt;/div&gt;
 &lt;/div&gt; </t>
  </si>
  <si>
    <t>网页iframe</t>
  </si>
  <si>
    <t xml:space="preserve"> &lt;div class="col-md-12 col-sm-12 "&gt;
  &lt;iframe src="参数13"  scrolling="auto" style="height: 120px; width: 100%;" frameborder="0"&gt;&lt;/iframe&gt;
 &lt;/div&gt;   </t>
  </si>
  <si>
    <t>当地天气</t>
  </si>
  <si>
    <t xml:space="preserve">     &lt;!--------------分隔线---------------------&gt;
    &lt;div class="col-md-4 col-sm-6 t"&gt;
     &lt;div class="panel panel-default"&gt;
      &lt;div class="panel-heading"&gt;
       &lt;h3 class="panel-title"&gt;当地天气&lt;/h3&gt;
      &lt;/div&gt;
      &lt;div class="panel-body"&gt;
&lt;iframe width="421" scrolling="no" height="100" frameborder="0" allowtransparency="true" src="https://i.tianqi.com?c=code&amp;id=14&amp;icon=1&amp;site=12"&gt;&lt;/iframe&gt;
      &lt;/div&gt;
     &lt;/div&gt;
    &lt;/div&gt; 
</t>
  </si>
  <si>
    <r>
      <rPr>
        <sz val="11"/>
        <color theme="1"/>
        <rFont val="宋体"/>
        <charset val="134"/>
        <scheme val="minor"/>
      </rPr>
      <t xml:space="preserve"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</t>
    </r>
    <r>
      <rPr>
        <sz val="11"/>
        <color theme="1"/>
        <rFont val="宋体"/>
        <charset val="134"/>
        <scheme val="minor"/>
      </rPr>
      <t>static/</t>
    </r>
    <r>
      <rPr>
        <sz val="11"/>
        <color theme="1"/>
        <rFont val="宋体"/>
        <charset val="134"/>
        <scheme val="minor"/>
      </rPr>
      <t xml:space="preserve">js/master.js"&gt;&lt;/script&gt;
&lt;script &gt;
$(document).ready(function(){
</t>
    </r>
    <r>
      <rPr>
        <sz val="11"/>
        <color theme="1"/>
        <rFont val="宋体"/>
        <charset val="134"/>
        <scheme val="minor"/>
      </rPr>
      <t xml:space="preserve">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t>
    </r>
  </si>
  <si>
    <t xml:space="preserve">     &lt;!--------------分隔线---------------------&gt;
    &lt;div class="col-md-4 col-sm-6 t"&gt;
     &lt;div class="panel panel-default"&gt;
      &lt;div class="panel-heading"&gt;
        &lt;a href='http://www.tz121.com/linhai/'&gt;临海天气&lt;/a&gt;
      &lt;/div&gt;
      &lt;div class="panel-body" style="height: 120px;"&gt;
       &lt;ul class="link"&gt;
           &lt;a href="参数13" target="_blank" rel="nofollow"&gt;参数12&lt;/a&gt;&lt;/li&gt;    
&lt;iframe width="421" scrolling="no" height="30" frameborder="0" allowtransparency="true" src="http://rw.r34.cc/index.php/Qwadmin/LilyApi"&gt;&lt;/iframe&gt;
&lt;iframe width="421" scrolling="no" height="60" frameborder="0" allowtransparency="true" src="http://tianqi.eastday.com/plugin/widget_v1.html?sc=1&amp;z=1&amp;t=0&amp;v=0&amp;d=3&amp;bd=0&amp;k=&amp;f=&amp;q=1&amp;a=0&amp;c=71224&amp;w=385&amp;h=96&amp;align=left"&gt;&lt;/iframe&gt;
       &lt;/ul&gt;
      &lt;/div&gt;
     &lt;/div&gt;
    &lt;/div&gt; 
</t>
  </si>
  <si>
    <t>Temp</t>
  </si>
  <si>
    <t>&lt;iframe allowtransparency="true" frameborder="0" scrolling="no" src="//tianqi.eastday.com/plugin/widget_v1.html?sc=1&amp;z=1&amp;t=1&amp;v=0&amp;d=3&amp;bd=0&amp;k=&amp;f=&amp;q=1&amp;a=0&amp;c=71224&amp;align=left"&gt;&lt;/iframe&gt;</t>
  </si>
  <si>
    <r>
      <rPr>
        <sz val="11"/>
        <color theme="1"/>
        <rFont val="宋体"/>
        <charset val="134"/>
        <scheme val="minor"/>
      </rPr>
      <t>面板i</t>
    </r>
    <r>
      <rPr>
        <sz val="11"/>
        <color theme="1"/>
        <rFont val="宋体"/>
        <charset val="134"/>
        <scheme val="minor"/>
      </rPr>
      <t>frame</t>
    </r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</si>
  <si>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120px;overflow: hidden;"&gt;
         &lt;iframe width="421" scrolling="no"  frameborder="0" allowtransparency="true" src="参数13"&gt;&lt;/iframe&gt;
      &lt;/div&gt;
     &lt;/div&gt;
    &lt;/div&gt; 
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</si>
  <si>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jax抓取</t>
    </r>
  </si>
  <si>
    <t xml:space="preserve">     &lt;!--------------分隔线---------------------&gt;
    &lt;div class="col-md-4 col-sm-6 t"&gt;
     &lt;div class="panel panel-default"&gt;
      &lt;div class="panel-heading"&gt;
       &lt;b&gt;参数12&lt;/b&gt;
      &lt;/div&gt;
      &lt;div class="panel-body" style="height: 120px;overflow: hidden;"&gt;
         &lt;div &gt;&lt;h4 id="参数12"&gt;正在抓取...&lt;/h4&gt;&lt;/div&gt;
      &lt;/div&gt;
     &lt;/div&gt;
    &lt;/div&gt; 
&lt;script&gt;
$(document).ready(function(){
var myurl="参数13"
$("#参数12").load(myurl);
})
&lt;/script&gt;</t>
  </si>
  <si>
    <r>
      <rPr>
        <sz val="11"/>
        <color theme="1"/>
        <rFont val="宋体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 xml:space="preserve"> 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</si>
</sst>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1"/>
      <color theme="1"/>
      <name val="宋体"/>
      <charset val="134"/>
      <scheme val="minor"/>
    </font>
    <font>
      <b/>
      <sz val="11"/>
      <color theme="3" tint="0.399670400097659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2"/>
      <color rgb="FF333333"/>
      <name val="微软雅黑"/>
      <charset val="134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85961485641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6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8" borderId="6" applyNumberFormat="0" applyFont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3" applyNumberFormat="0" applyFill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8" fillId="16" borderId="5" applyNumberFormat="0" applyAlignment="0" applyProtection="0">
      <alignment vertical="center"/>
    </xf>
    <xf numFmtId="0" fontId="25" fillId="16" borderId="4" applyNumberFormat="0" applyAlignment="0" applyProtection="0">
      <alignment vertical="center"/>
    </xf>
    <xf numFmtId="0" fontId="22" fillId="23" borderId="8" applyNumberFormat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0" xfId="0" applyNumberFormat="1" applyAlignment="1">
      <alignment shrinkToFit="1"/>
    </xf>
    <xf numFmtId="0" fontId="0" fillId="0" borderId="0" xfId="0" applyNumberFormat="1" applyFont="1" applyFill="1" applyAlignment="1">
      <alignment shrinkToFit="1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5" borderId="0" xfId="0" applyFill="1" applyBorder="1" applyAlignment="1">
      <alignment vertical="top" wrapText="1"/>
    </xf>
    <xf numFmtId="0" fontId="0" fillId="4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vertical="center" shrinkToFit="1"/>
    </xf>
    <xf numFmtId="0" fontId="3" fillId="0" borderId="0" xfId="0" applyNumberFormat="1" applyFont="1" applyFill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3" borderId="0" xfId="0" applyFill="1" applyBorder="1" applyAlignment="1">
      <alignment horizontal="left" vertical="center"/>
    </xf>
    <xf numFmtId="0" fontId="0" fillId="3" borderId="0" xfId="0" applyFont="1" applyFill="1" applyBorder="1" applyAlignment="1">
      <alignment vertical="center" shrinkToFit="1"/>
    </xf>
    <xf numFmtId="0" fontId="0" fillId="2" borderId="0" xfId="0" applyFont="1" applyFill="1" applyBorder="1" applyAlignment="1">
      <alignment vertical="center" shrinkToFit="1"/>
    </xf>
    <xf numFmtId="0" fontId="0" fillId="3" borderId="0" xfId="0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0" fontId="3" fillId="3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Alignment="1">
      <alignment vertical="center" shrinkToFit="1"/>
    </xf>
    <xf numFmtId="0" fontId="0" fillId="3" borderId="0" xfId="0" applyNumberFormat="1" applyFont="1" applyFill="1" applyBorder="1" applyAlignment="1">
      <alignment vertical="center" shrinkToFit="1"/>
    </xf>
    <xf numFmtId="0" fontId="0" fillId="0" borderId="0" xfId="0" applyNumberFormat="1" applyFont="1" applyFill="1" applyBorder="1" applyAlignment="1">
      <alignment vertical="center" shrinkToFit="1"/>
    </xf>
    <xf numFmtId="0" fontId="5" fillId="0" borderId="0" xfId="0" applyFont="1"/>
    <xf numFmtId="0" fontId="6" fillId="0" borderId="0" xfId="10" applyNumberFormat="1" applyFill="1" applyBorder="1" applyAlignment="1">
      <alignment vertical="center" shrinkToFit="1"/>
    </xf>
    <xf numFmtId="0" fontId="6" fillId="0" borderId="0" xfId="10" applyNumberFormat="1" applyFill="1" applyAlignment="1">
      <alignment shrinkToFit="1"/>
    </xf>
    <xf numFmtId="0" fontId="6" fillId="0" borderId="0" xfId="1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0" fillId="3" borderId="0" xfId="0" applyNumberFormat="1" applyFill="1" applyBorder="1" applyAlignment="1">
      <alignment vertical="center" shrinkToFit="1"/>
    </xf>
    <xf numFmtId="0" fontId="7" fillId="0" borderId="0" xfId="10" applyNumberFormat="1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161925</xdr:colOff>
          <xdr:row>1</xdr:row>
          <xdr:rowOff>28575</xdr:rowOff>
        </xdr:from>
        <xdr:to>
          <xdr:col>19</xdr:col>
          <xdr:colOff>819150</xdr:colOff>
          <xdr:row>1</xdr:row>
          <xdr:rowOff>419100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7915275" y="28575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生成首页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O38"/>
  <sheetViews>
    <sheetView tabSelected="1" workbookViewId="0">
      <pane xSplit="22" ySplit="20" topLeftCell="W21" activePane="bottomRight" state="frozen"/>
      <selection/>
      <selection pane="topRight"/>
      <selection pane="bottomLeft"/>
      <selection pane="bottomRight" activeCell="O35" sqref="O35"/>
    </sheetView>
  </sheetViews>
  <sheetFormatPr defaultColWidth="9" defaultRowHeight="13.5"/>
  <cols>
    <col min="1" max="1" width="21.5" style="19" customWidth="1"/>
    <col min="2" max="2" width="6.5" style="19" customWidth="1"/>
    <col min="3" max="3" width="3.5" style="19" hidden="1" customWidth="1"/>
    <col min="4" max="4" width="15.875" style="19" hidden="1" customWidth="1"/>
    <col min="5" max="5" width="10.5" style="19" hidden="1" customWidth="1"/>
    <col min="6" max="6" width="23.25" style="19" hidden="1" customWidth="1"/>
    <col min="7" max="8" width="7.5" style="19" hidden="1" customWidth="1"/>
    <col min="9" max="9" width="12" style="19" hidden="1" customWidth="1"/>
    <col min="10" max="10" width="7.125" style="19" hidden="1" customWidth="1"/>
    <col min="11" max="11" width="12.375" style="20" customWidth="1"/>
    <col min="12" max="12" width="12.625" style="21" customWidth="1"/>
    <col min="13" max="13" width="3.625" style="21" customWidth="1"/>
    <col min="14" max="14" width="12.625" style="21" customWidth="1"/>
    <col min="15" max="15" width="3.625" style="21" customWidth="1"/>
    <col min="16" max="16" width="12.625" style="21" customWidth="1"/>
    <col min="17" max="17" width="3.625" style="21" customWidth="1"/>
    <col min="18" max="18" width="12.625" style="21" customWidth="1"/>
    <col min="19" max="19" width="3.625" style="19" customWidth="1"/>
    <col min="20" max="20" width="12.625" style="19" customWidth="1"/>
    <col min="21" max="21" width="3.625" style="19" customWidth="1"/>
    <col min="22" max="22" width="12.625" style="19" customWidth="1"/>
    <col min="23" max="23" width="6.125" style="19" customWidth="1"/>
    <col min="24" max="24" width="12.625" style="19" customWidth="1"/>
    <col min="25" max="25" width="3.625" style="19" customWidth="1"/>
    <col min="26" max="26" width="12.625" style="19" customWidth="1"/>
    <col min="27" max="41" width="3.625" style="19" customWidth="1"/>
    <col min="42" max="16384" width="9" style="19"/>
  </cols>
  <sheetData>
    <row r="1" ht="70.9" hidden="1" customHeight="1" spans="1:5">
      <c r="A1" s="22" t="s">
        <v>0</v>
      </c>
      <c r="B1" s="23" t="str">
        <f>IF(ISERROR(VLOOKUP(A1,常用代码!A:F,2,FALSE)),"",VLOOKUP(A1,常用代码!A:F,2,FALSE))</f>
        <v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src="static/js/master.js"&gt;&lt;/script&gt;
&lt;script &gt;
$(document).ready(function(){
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v>
      </c>
      <c r="C1" s="23" t="str">
        <f>IF(LEN(IF(ISERROR(VLOOKUP(A1,常用代码!A:F,3,FALSE)),"",VLOOKUP(A1,常用代码!A:F,3,FALSE)))&lt;2,"",VLOOKUP(A1,常用代码!A:F,3,FALSE))</f>
        <v/>
      </c>
      <c r="D1" s="24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ht="37.5" customHeight="1" spans="1:2">
      <c r="A2" s="25" t="s">
        <v>1</v>
      </c>
      <c r="B2" s="26" t="s">
        <v>2</v>
      </c>
    </row>
    <row r="3" s="14" customFormat="1" ht="45.75" hidden="1" customHeight="1" spans="1:18">
      <c r="A3" s="14" t="str">
        <f>IF(ISERROR(VLOOKUP(A1,常用代码!A:I,7,FALSE)&amp;""),"",VLOOKUP(A1,常用代码!A:I,7,FALSE)&amp;"")</f>
        <v/>
      </c>
      <c r="B3" s="14" t="str">
        <f>IF(ISERROR(VLOOKUP(A1,常用代码!A:I,8,FALSE)&amp;""),"",VLOOKUP(A1,常用代码!A:I,8,FALSE)&amp;"")</f>
        <v/>
      </c>
      <c r="C3" s="14" t="str">
        <f>IF(ISERROR(VLOOKUP(A1,常用代码!A:I,9,FALSE)&amp;""),"",VLOOKUP(A1,常用代码!A:I,9,FALSE)&amp;"")</f>
        <v/>
      </c>
      <c r="K3" s="34"/>
      <c r="L3" s="35"/>
      <c r="M3" s="35"/>
      <c r="N3" s="35"/>
      <c r="O3" s="35"/>
      <c r="P3" s="35"/>
      <c r="Q3" s="35"/>
      <c r="R3" s="35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27" t="s">
        <v>3</v>
      </c>
      <c r="B18" s="27"/>
      <c r="C18" s="27"/>
      <c r="D18" s="27"/>
      <c r="E18" s="27"/>
      <c r="F18" s="27"/>
      <c r="G18" s="27"/>
      <c r="H18" s="27"/>
      <c r="I18" s="27"/>
      <c r="J18" s="27"/>
      <c r="K18" s="36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</row>
    <row r="19" s="15" customFormat="1" ht="16.9" customHeight="1" spans="1:41">
      <c r="A19" s="28" t="s">
        <v>4</v>
      </c>
      <c r="B19" s="28" t="s">
        <v>5</v>
      </c>
      <c r="C19" s="28" t="s">
        <v>6</v>
      </c>
      <c r="D19" s="28" t="s">
        <v>7</v>
      </c>
      <c r="E19" s="28" t="s">
        <v>8</v>
      </c>
      <c r="F19" s="28" t="s">
        <v>9</v>
      </c>
      <c r="G19" s="28" t="s">
        <v>10</v>
      </c>
      <c r="H19" s="28" t="s">
        <v>11</v>
      </c>
      <c r="I19" s="28" t="s">
        <v>12</v>
      </c>
      <c r="J19" s="28" t="s">
        <v>13</v>
      </c>
      <c r="K19" s="37" t="s">
        <v>14</v>
      </c>
      <c r="L19" s="38" t="s">
        <v>15</v>
      </c>
      <c r="M19" s="38" t="s">
        <v>16</v>
      </c>
      <c r="N19" s="38" t="s">
        <v>17</v>
      </c>
      <c r="O19" s="38" t="s">
        <v>18</v>
      </c>
      <c r="P19" s="38" t="s">
        <v>19</v>
      </c>
      <c r="Q19" s="38" t="s">
        <v>20</v>
      </c>
      <c r="R19" s="38" t="s">
        <v>21</v>
      </c>
      <c r="S19" s="38" t="s">
        <v>22</v>
      </c>
      <c r="T19" s="38" t="s">
        <v>23</v>
      </c>
      <c r="U19" s="38" t="s">
        <v>24</v>
      </c>
      <c r="V19" s="38" t="s">
        <v>25</v>
      </c>
      <c r="W19" s="38" t="s">
        <v>26</v>
      </c>
      <c r="X19" s="38" t="s">
        <v>27</v>
      </c>
      <c r="Y19" s="38" t="s">
        <v>28</v>
      </c>
      <c r="Z19" s="38" t="s">
        <v>29</v>
      </c>
      <c r="AA19" s="38" t="s">
        <v>30</v>
      </c>
      <c r="AB19" s="38" t="s">
        <v>31</v>
      </c>
      <c r="AC19" s="38" t="s">
        <v>32</v>
      </c>
      <c r="AD19" s="38" t="s">
        <v>33</v>
      </c>
      <c r="AE19" s="38" t="s">
        <v>34</v>
      </c>
      <c r="AF19" s="38" t="s">
        <v>35</v>
      </c>
      <c r="AG19" s="38" t="s">
        <v>36</v>
      </c>
      <c r="AH19" s="38" t="s">
        <v>37</v>
      </c>
      <c r="AI19" s="38" t="s">
        <v>38</v>
      </c>
      <c r="AJ19" s="38" t="s">
        <v>39</v>
      </c>
      <c r="AK19" s="38" t="s">
        <v>40</v>
      </c>
      <c r="AL19" s="38" t="s">
        <v>41</v>
      </c>
      <c r="AM19" s="38" t="s">
        <v>42</v>
      </c>
      <c r="AN19" s="38" t="s">
        <v>43</v>
      </c>
      <c r="AO19" s="38" t="s">
        <v>44</v>
      </c>
    </row>
    <row r="20" s="15" customFormat="1" ht="16.9" customHeight="1" spans="1:28">
      <c r="A20" s="15" t="s">
        <v>45</v>
      </c>
      <c r="B20" s="28" t="s">
        <v>46</v>
      </c>
      <c r="C20" s="15" t="s">
        <v>47</v>
      </c>
      <c r="D20" s="15" t="s">
        <v>48</v>
      </c>
      <c r="E20" s="15" t="s">
        <v>1</v>
      </c>
      <c r="F20" s="28" t="s">
        <v>49</v>
      </c>
      <c r="G20" s="15" t="s">
        <v>50</v>
      </c>
      <c r="H20" s="15" t="s">
        <v>51</v>
      </c>
      <c r="I20" s="15" t="s">
        <v>52</v>
      </c>
      <c r="J20" s="28" t="s">
        <v>13</v>
      </c>
      <c r="K20" s="39" t="s">
        <v>53</v>
      </c>
      <c r="L20" s="28">
        <v>1.1</v>
      </c>
      <c r="M20" s="38" t="s">
        <v>54</v>
      </c>
      <c r="N20" s="38">
        <v>1.2</v>
      </c>
      <c r="O20" s="38" t="s">
        <v>18</v>
      </c>
      <c r="P20" s="38">
        <v>1.3</v>
      </c>
      <c r="Q20" s="38" t="s">
        <v>20</v>
      </c>
      <c r="R20" s="38">
        <v>2.1</v>
      </c>
      <c r="S20" s="38" t="s">
        <v>22</v>
      </c>
      <c r="T20" s="38">
        <v>2.2</v>
      </c>
      <c r="V20" s="15">
        <v>2.3</v>
      </c>
      <c r="X20" s="15">
        <v>3.1</v>
      </c>
      <c r="Z20" s="15">
        <v>3.2</v>
      </c>
      <c r="AB20" s="15">
        <v>3.3</v>
      </c>
    </row>
    <row r="21" s="16" customFormat="1" ht="15" customHeight="1" spans="1:13">
      <c r="A21" s="29" t="s">
        <v>55</v>
      </c>
      <c r="C21" s="30"/>
      <c r="D21" s="30"/>
      <c r="E21" s="30"/>
      <c r="F21" s="30"/>
      <c r="G21" s="30"/>
      <c r="H21" s="30"/>
      <c r="I21" s="40"/>
      <c r="J21" s="30"/>
      <c r="K21" s="41"/>
      <c r="L21" s="30"/>
      <c r="M21" s="30"/>
    </row>
    <row r="22" s="17" customFormat="1" spans="1:38">
      <c r="A22" s="29" t="s">
        <v>56</v>
      </c>
      <c r="B22" s="31"/>
      <c r="C22" s="32"/>
      <c r="D22" s="32"/>
      <c r="E22" s="32"/>
      <c r="F22" s="32"/>
      <c r="G22" s="32"/>
      <c r="H22" s="32"/>
      <c r="I22" s="42"/>
      <c r="J22" s="32"/>
      <c r="K22" s="41"/>
      <c r="L22" s="30"/>
      <c r="M22" s="30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</row>
    <row r="23" s="18" customFormat="1" ht="17.25" spans="1:38">
      <c r="A23" s="29" t="s">
        <v>57</v>
      </c>
      <c r="K23" s="43" t="s">
        <v>58</v>
      </c>
      <c r="L23" s="44" t="s">
        <v>59</v>
      </c>
      <c r="M23" s="45" t="s">
        <v>60</v>
      </c>
      <c r="N23" s="44" t="s">
        <v>61</v>
      </c>
      <c r="O23" s="44"/>
      <c r="P23" s="44" t="s">
        <v>62</v>
      </c>
      <c r="Q23" s="44"/>
      <c r="R23" s="44" t="s">
        <v>63</v>
      </c>
      <c r="S23" s="44"/>
      <c r="T23" s="18" t="s">
        <v>64</v>
      </c>
      <c r="V23" s="44"/>
      <c r="W23" s="44"/>
      <c r="X23" s="44">
        <v>11</v>
      </c>
      <c r="Y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</row>
    <row r="24" s="18" customFormat="1" spans="1:38">
      <c r="A24" s="29" t="s">
        <v>57</v>
      </c>
      <c r="K24" s="43" t="s">
        <v>65</v>
      </c>
      <c r="L24" s="44">
        <v>2</v>
      </c>
      <c r="M24" s="44"/>
      <c r="N24" s="44">
        <v>2</v>
      </c>
      <c r="O24" s="44"/>
      <c r="P24" s="44">
        <v>2</v>
      </c>
      <c r="Q24" s="44"/>
      <c r="R24" s="44">
        <v>2</v>
      </c>
      <c r="T24" s="44">
        <v>2</v>
      </c>
      <c r="V24" s="44">
        <v>2</v>
      </c>
      <c r="X24" s="44">
        <v>2</v>
      </c>
      <c r="Z24" s="44">
        <v>2</v>
      </c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</row>
    <row r="25" s="18" customFormat="1" spans="1:38">
      <c r="A25" s="29" t="s">
        <v>57</v>
      </c>
      <c r="K25" s="43" t="s">
        <v>66</v>
      </c>
      <c r="L25" s="44">
        <v>3</v>
      </c>
      <c r="M25" s="44"/>
      <c r="N25" s="44">
        <v>3</v>
      </c>
      <c r="O25" s="44"/>
      <c r="P25" s="44">
        <v>3</v>
      </c>
      <c r="Q25" s="44"/>
      <c r="R25" s="44">
        <v>3</v>
      </c>
      <c r="S25" s="44"/>
      <c r="T25" s="44">
        <v>3</v>
      </c>
      <c r="U25" s="44"/>
      <c r="V25" s="44">
        <v>3</v>
      </c>
      <c r="X25" s="44">
        <v>3</v>
      </c>
      <c r="Y25" s="44"/>
      <c r="Z25" s="44">
        <v>3</v>
      </c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</row>
    <row r="26" s="18" customFormat="1" spans="1:38">
      <c r="A26" s="29" t="s">
        <v>57</v>
      </c>
      <c r="K26" s="43" t="s">
        <v>67</v>
      </c>
      <c r="L26" s="44">
        <v>4</v>
      </c>
      <c r="M26" s="44"/>
      <c r="N26" s="44">
        <v>4</v>
      </c>
      <c r="O26" s="44"/>
      <c r="P26" s="44">
        <v>4</v>
      </c>
      <c r="Q26" s="44"/>
      <c r="R26" s="44">
        <v>4</v>
      </c>
      <c r="S26" s="44"/>
      <c r="T26" s="44">
        <v>4</v>
      </c>
      <c r="U26" s="44"/>
      <c r="V26" s="44">
        <v>4</v>
      </c>
      <c r="W26" s="44"/>
      <c r="X26" s="44">
        <v>4</v>
      </c>
      <c r="Y26" s="44"/>
      <c r="Z26" s="44">
        <v>4</v>
      </c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</row>
    <row r="27" s="18" customFormat="1" spans="1:38">
      <c r="A27" s="29" t="s">
        <v>68</v>
      </c>
      <c r="K27" s="43" t="s">
        <v>69</v>
      </c>
      <c r="L27" s="44">
        <v>5</v>
      </c>
      <c r="M27" s="46"/>
      <c r="N27" s="44">
        <v>5</v>
      </c>
      <c r="O27" s="46"/>
      <c r="P27" s="44">
        <v>5</v>
      </c>
      <c r="Q27" s="46"/>
      <c r="R27" s="44">
        <v>5</v>
      </c>
      <c r="S27" s="51"/>
      <c r="T27" s="44">
        <v>5</v>
      </c>
      <c r="U27" s="46"/>
      <c r="V27" s="44">
        <v>5</v>
      </c>
      <c r="W27" s="46"/>
      <c r="X27" s="44">
        <v>5</v>
      </c>
      <c r="Y27" s="46"/>
      <c r="Z27" s="44">
        <v>5</v>
      </c>
      <c r="AA27" s="46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</row>
    <row r="28" s="18" customFormat="1" spans="1:38">
      <c r="A28" s="29" t="s">
        <v>68</v>
      </c>
      <c r="K28" s="43" t="s">
        <v>70</v>
      </c>
      <c r="L28" s="44">
        <v>6</v>
      </c>
      <c r="M28" s="46"/>
      <c r="N28" s="44">
        <v>6</v>
      </c>
      <c r="P28" s="44">
        <v>6</v>
      </c>
      <c r="R28" s="44">
        <v>6</v>
      </c>
      <c r="S28" s="44"/>
      <c r="T28" s="44">
        <v>6</v>
      </c>
      <c r="U28" s="44"/>
      <c r="V28" s="44">
        <v>6</v>
      </c>
      <c r="W28" s="44"/>
      <c r="X28" s="44">
        <v>6</v>
      </c>
      <c r="Y28" s="44"/>
      <c r="Z28" s="44">
        <v>6</v>
      </c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</row>
    <row r="29" s="18" customFormat="1" spans="1:38">
      <c r="A29" s="29" t="s">
        <v>68</v>
      </c>
      <c r="K29" s="43" t="s">
        <v>70</v>
      </c>
      <c r="L29" s="44">
        <v>7</v>
      </c>
      <c r="M29" s="46"/>
      <c r="N29" s="44">
        <v>7</v>
      </c>
      <c r="P29" s="44">
        <v>7</v>
      </c>
      <c r="R29" s="44">
        <v>7</v>
      </c>
      <c r="S29" s="44"/>
      <c r="T29" s="44">
        <v>7</v>
      </c>
      <c r="U29" s="44"/>
      <c r="V29" s="44">
        <v>7</v>
      </c>
      <c r="W29" s="44"/>
      <c r="X29" s="44">
        <v>7</v>
      </c>
      <c r="Y29" s="44"/>
      <c r="Z29" s="44">
        <v>7</v>
      </c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</row>
    <row r="30" s="18" customFormat="1" spans="1:38">
      <c r="A30" s="29" t="s">
        <v>68</v>
      </c>
      <c r="K30" s="43" t="s">
        <v>71</v>
      </c>
      <c r="L30" s="44">
        <v>8</v>
      </c>
      <c r="M30" s="44"/>
      <c r="N30" s="44">
        <v>8</v>
      </c>
      <c r="O30" s="47"/>
      <c r="P30" s="44">
        <v>8</v>
      </c>
      <c r="Q30" s="44"/>
      <c r="R30" s="44">
        <v>8</v>
      </c>
      <c r="T30" s="44">
        <v>8</v>
      </c>
      <c r="U30" s="44"/>
      <c r="V30" s="44">
        <v>8</v>
      </c>
      <c r="W30" s="44"/>
      <c r="X30" s="44">
        <v>8</v>
      </c>
      <c r="Y30" s="44"/>
      <c r="Z30" s="44">
        <v>8</v>
      </c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</row>
    <row r="31" s="18" customFormat="1" spans="1:38">
      <c r="A31" s="29" t="s">
        <v>72</v>
      </c>
      <c r="K31" s="43"/>
      <c r="L31" s="44"/>
      <c r="M31" s="46"/>
      <c r="N31" s="44"/>
      <c r="O31" s="47"/>
      <c r="P31" s="44"/>
      <c r="Q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</row>
    <row r="32" spans="1:14">
      <c r="A32" s="33" t="s">
        <v>73</v>
      </c>
      <c r="K32" s="43" t="s">
        <v>74</v>
      </c>
      <c r="L32" s="43" t="s">
        <v>74</v>
      </c>
      <c r="M32" s="48"/>
      <c r="N32" s="49"/>
    </row>
    <row r="33" spans="1:13">
      <c r="A33" s="33" t="s">
        <v>75</v>
      </c>
      <c r="K33" s="43" t="s">
        <v>76</v>
      </c>
      <c r="L33" s="43" t="s">
        <v>76</v>
      </c>
      <c r="M33" s="48"/>
    </row>
    <row r="34" spans="1:14">
      <c r="A34" s="33" t="s">
        <v>75</v>
      </c>
      <c r="K34" s="43" t="s">
        <v>77</v>
      </c>
      <c r="L34" s="43" t="s">
        <v>77</v>
      </c>
      <c r="M34" s="48"/>
      <c r="N34" s="49"/>
    </row>
    <row r="35" s="16" customFormat="1" spans="1:11">
      <c r="A35" s="29" t="s">
        <v>0</v>
      </c>
      <c r="K35" s="50"/>
    </row>
    <row r="36" spans="1:1">
      <c r="A36" s="33"/>
    </row>
    <row r="37" spans="1:1">
      <c r="A37" s="33"/>
    </row>
    <row r="38" spans="1:1">
      <c r="A38" s="33"/>
    </row>
  </sheetData>
  <mergeCells count="1">
    <mergeCell ref="A18:V18"/>
  </mergeCells>
  <dataValidations count="2">
    <dataValidation type="list" allowBlank="1" showInputMessage="1" showErrorMessage="1" sqref="A1 A21:A38">
      <formula1>常用代码!$A:$A</formula1>
    </dataValidation>
    <dataValidation type="list" allowBlank="1" showInputMessage="1" showErrorMessage="1" sqref="J1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2" name="Button 20" r:id="rId3">
              <controlPr print="0" defaultSize="0">
                <anchor>
                  <from>
                    <xdr:col>18</xdr:col>
                    <xdr:colOff>161925</xdr:colOff>
                    <xdr:row>1</xdr:row>
                    <xdr:rowOff>28575</xdr:rowOff>
                  </from>
                  <to>
                    <xdr:col>19</xdr:col>
                    <xdr:colOff>819150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78</v>
      </c>
      <c r="B1" t="s">
        <v>79</v>
      </c>
      <c r="D1" s="10"/>
    </row>
    <row r="2" spans="1:4">
      <c r="A2" t="s">
        <v>80</v>
      </c>
      <c r="B2" t="s">
        <v>81</v>
      </c>
      <c r="D2" s="11"/>
    </row>
    <row r="3" spans="1:4">
      <c r="A3" t="s">
        <v>82</v>
      </c>
      <c r="D3" s="12"/>
    </row>
    <row r="4" spans="1:4">
      <c r="A4" t="s">
        <v>83</v>
      </c>
      <c r="D4" s="12"/>
    </row>
    <row r="5" spans="1:4">
      <c r="A5" t="s">
        <v>84</v>
      </c>
      <c r="D5" s="13"/>
    </row>
    <row r="6" spans="1:1">
      <c r="A6" t="s">
        <v>85</v>
      </c>
    </row>
    <row r="7" spans="1:1">
      <c r="A7" t="s">
        <v>86</v>
      </c>
    </row>
    <row r="8" spans="1:1">
      <c r="A8" t="s">
        <v>87</v>
      </c>
    </row>
    <row r="9" spans="1:1">
      <c r="A9" t="s">
        <v>88</v>
      </c>
    </row>
    <row r="10" spans="1:1">
      <c r="A10" t="s">
        <v>89</v>
      </c>
    </row>
    <row r="11" spans="1:2">
      <c r="A11" t="s">
        <v>90</v>
      </c>
      <c r="B11" t="s">
        <v>91</v>
      </c>
    </row>
    <row r="12" spans="1:1">
      <c r="A12" t="s">
        <v>92</v>
      </c>
    </row>
    <row r="13" spans="1:1">
      <c r="A13" t="s">
        <v>93</v>
      </c>
    </row>
    <row r="14" spans="1:1">
      <c r="A14" t="s">
        <v>94</v>
      </c>
    </row>
    <row r="15" spans="1:1">
      <c r="A15" t="s">
        <v>95</v>
      </c>
    </row>
    <row r="16" spans="1:1">
      <c r="A16" t="s">
        <v>96</v>
      </c>
    </row>
    <row r="17" spans="1:1">
      <c r="A17" t="s">
        <v>97</v>
      </c>
    </row>
    <row r="18" spans="1:1">
      <c r="A18" t="s">
        <v>98</v>
      </c>
    </row>
    <row r="19" spans="1:1">
      <c r="A19" t="s">
        <v>99</v>
      </c>
    </row>
    <row r="20" spans="1:1">
      <c r="A20" t="s">
        <v>100</v>
      </c>
    </row>
    <row r="21" spans="1:1">
      <c r="A21" t="s">
        <v>101</v>
      </c>
    </row>
    <row r="22" spans="1:1">
      <c r="A22" t="s">
        <v>102</v>
      </c>
    </row>
    <row r="23" spans="1:1">
      <c r="A23" t="s">
        <v>103</v>
      </c>
    </row>
    <row r="24" spans="1:1">
      <c r="A24" t="s">
        <v>104</v>
      </c>
    </row>
    <row r="25" spans="1:1">
      <c r="A25" t="s">
        <v>105</v>
      </c>
    </row>
    <row r="26" spans="1:1">
      <c r="A26" t="s">
        <v>106</v>
      </c>
    </row>
    <row r="27" spans="1:1">
      <c r="A27" t="s">
        <v>107</v>
      </c>
    </row>
    <row r="28" spans="1:1">
      <c r="A28" t="s">
        <v>108</v>
      </c>
    </row>
    <row r="29" spans="1:1">
      <c r="A29" t="s">
        <v>109</v>
      </c>
    </row>
    <row r="30" spans="1:1">
      <c r="A30" t="s">
        <v>110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4"/>
  <sheetViews>
    <sheetView workbookViewId="0">
      <selection activeCell="A3" sqref="A3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111</v>
      </c>
      <c r="B1" s="2" t="s">
        <v>112</v>
      </c>
      <c r="C1" s="1" t="s">
        <v>47</v>
      </c>
      <c r="D1" s="1" t="s">
        <v>48</v>
      </c>
      <c r="E1" s="1" t="s">
        <v>113</v>
      </c>
      <c r="F1" s="1" t="s">
        <v>49</v>
      </c>
      <c r="G1" s="1" t="s">
        <v>50</v>
      </c>
      <c r="H1" s="1" t="s">
        <v>51</v>
      </c>
      <c r="I1" s="1" t="s">
        <v>52</v>
      </c>
    </row>
    <row r="2" spans="1:2">
      <c r="A2" s="1" t="s">
        <v>114</v>
      </c>
      <c r="B2" s="2" t="s">
        <v>115</v>
      </c>
    </row>
    <row r="3" ht="80.1" customHeight="1" spans="1:5">
      <c r="A3" s="3" t="s">
        <v>116</v>
      </c>
      <c r="B3" s="4" t="s">
        <v>117</v>
      </c>
      <c r="E3" s="5"/>
    </row>
    <row r="4" ht="80.1" customHeight="1" spans="1:5">
      <c r="A4" s="3" t="s">
        <v>118</v>
      </c>
      <c r="B4" s="6" t="s">
        <v>119</v>
      </c>
      <c r="E4" s="5"/>
    </row>
    <row r="5" ht="80.1" customHeight="1" spans="1:5">
      <c r="A5" s="3" t="s">
        <v>120</v>
      </c>
      <c r="B5" s="4" t="s">
        <v>121</v>
      </c>
      <c r="E5" s="5"/>
    </row>
    <row r="6" ht="80.1" customHeight="1" spans="1:5">
      <c r="A6" s="3" t="s">
        <v>122</v>
      </c>
      <c r="B6" s="4" t="s">
        <v>123</v>
      </c>
      <c r="E6" s="5"/>
    </row>
    <row r="7" ht="83.1" customHeight="1" spans="1:5">
      <c r="A7" s="1" t="s">
        <v>124</v>
      </c>
      <c r="B7" s="7" t="s">
        <v>125</v>
      </c>
      <c r="E7" s="5"/>
    </row>
    <row r="8" ht="93" customHeight="1" spans="1:5">
      <c r="A8" s="1" t="s">
        <v>126</v>
      </c>
      <c r="B8" s="7" t="s">
        <v>127</v>
      </c>
      <c r="E8" s="5"/>
    </row>
    <row r="9" ht="80.1" customHeight="1" spans="1:3">
      <c r="A9" s="3" t="s">
        <v>56</v>
      </c>
      <c r="B9" s="6" t="s">
        <v>128</v>
      </c>
      <c r="C9" s="5"/>
    </row>
    <row r="10" ht="83.1" customHeight="1" spans="1:5">
      <c r="A10" s="1" t="s">
        <v>57</v>
      </c>
      <c r="B10" s="7" t="s">
        <v>129</v>
      </c>
      <c r="E10" s="5"/>
    </row>
    <row r="11" ht="93" customHeight="1" spans="1:5">
      <c r="A11" s="1" t="s">
        <v>68</v>
      </c>
      <c r="B11" s="7" t="s">
        <v>130</v>
      </c>
      <c r="E11" s="5"/>
    </row>
    <row r="12" ht="80.1" customHeight="1" spans="1:8">
      <c r="A12" s="1" t="s">
        <v>131</v>
      </c>
      <c r="B12" s="7" t="s">
        <v>132</v>
      </c>
      <c r="D12" s="8"/>
      <c r="F12" s="8"/>
      <c r="H12" s="8"/>
    </row>
    <row r="13" ht="80.1" customHeight="1" spans="1:2">
      <c r="A13" s="1" t="s">
        <v>133</v>
      </c>
      <c r="B13" s="6" t="s">
        <v>134</v>
      </c>
    </row>
    <row r="14" ht="80.1" customHeight="1" spans="1:3">
      <c r="A14" s="1" t="s">
        <v>135</v>
      </c>
      <c r="B14" s="7" t="s">
        <v>136</v>
      </c>
      <c r="C14" s="5"/>
    </row>
    <row r="15" ht="80.1" customHeight="1" spans="1:2">
      <c r="A15" s="3" t="s">
        <v>0</v>
      </c>
      <c r="B15" s="7" t="s">
        <v>137</v>
      </c>
    </row>
    <row r="16" ht="80.1" customHeight="1" spans="1:3">
      <c r="A16" s="1" t="s">
        <v>72</v>
      </c>
      <c r="B16" s="7" t="s">
        <v>138</v>
      </c>
      <c r="C16" s="5"/>
    </row>
    <row r="17" ht="80.1" customHeight="1" spans="1:2">
      <c r="A17" s="1" t="s">
        <v>139</v>
      </c>
      <c r="B17" s="6" t="s">
        <v>140</v>
      </c>
    </row>
    <row r="18" ht="80.1" customHeight="1" spans="1:3">
      <c r="A18" s="3" t="s">
        <v>141</v>
      </c>
      <c r="B18" s="7" t="s">
        <v>142</v>
      </c>
      <c r="C18" s="5"/>
    </row>
    <row r="19" ht="80.1" customHeight="1" spans="1:2">
      <c r="A19" s="3" t="s">
        <v>143</v>
      </c>
      <c r="B19" s="7" t="s">
        <v>144</v>
      </c>
    </row>
    <row r="20" ht="22.15" customHeight="1" spans="1:2">
      <c r="A20" s="3" t="s">
        <v>145</v>
      </c>
      <c r="B20" s="6"/>
    </row>
    <row r="21" ht="22.15" customHeight="1" spans="2:2">
      <c r="B21" s="6"/>
    </row>
    <row r="22" ht="22.15" customHeight="1" spans="2:2">
      <c r="B22" s="6"/>
    </row>
    <row r="23" ht="22.15" customHeight="1" spans="2:2">
      <c r="B23" s="6"/>
    </row>
    <row r="24" spans="2:2">
      <c r="B24" s="9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2021-06-06T13:45:17Z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